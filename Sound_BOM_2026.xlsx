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<sst xmlns="http://schemas.openxmlformats.org/spreadsheetml/2006/main" count="182" uniqueCount="122">
  <si>
    <t xml:space="preserve">Based on PCBWay Bom Quotation</t>
  </si>
  <si>
    <t xml:space="preserve">Item #</t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</si>
  <si>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Designator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</si>
  <si>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Qty</t>
    </r>
  </si>
  <si>
    <t xml:space="preserve">Manufacturer</t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</si>
  <si>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Mfg Part #</t>
    </r>
  </si>
  <si>
    <t xml:space="preserve">Description / Value</t>
  </si>
  <si>
    <t xml:space="preserve">Vendor Part #</t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</si>
  <si>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Package/Footprint</t>
    </r>
  </si>
  <si>
    <t xml:space="preserve">Mounting Type</t>
  </si>
  <si>
    <t xml:space="preserve">Your Instructions / Notes</t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</si>
  <si>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Unit Price(2 sets)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</si>
  <si>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Total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</si>
  <si>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Delivery Time</t>
    </r>
  </si>
  <si>
    <r>
      <rPr>
        <sz val="10"/>
        <color rgb="FFFF0000"/>
        <rFont val="Arial"/>
        <family val="2"/>
      </rPr>
      <t xml:space="preserve">*</t>
    </r>
    <r>
      <rPr>
        <b val="true"/>
        <sz val="10"/>
        <rFont val="Arial"/>
        <family val="2"/>
      </rPr>
      <t xml:space="preserve">Actual Purchase Mfg Part #</t>
    </r>
  </si>
  <si>
    <t xml:space="preserve">Customer Reply</t>
  </si>
  <si>
    <t xml:space="preserve">C2, C7, C9, C10, C11, C12, C13, C28</t>
  </si>
  <si>
    <t xml:space="preserve">Samsung Electro-Mechanics</t>
  </si>
  <si>
    <t xml:space="preserve">CL10B104KA8NNNC</t>
  </si>
  <si>
    <t xml:space="preserve">0.1uF</t>
  </si>
  <si>
    <t xml:space="preserve">C1590</t>
  </si>
  <si>
    <t xml:space="preserve">0603</t>
  </si>
  <si>
    <t xml:space="preserve">SMD</t>
  </si>
  <si>
    <t xml:space="preserve">C4, C21, C22, C23, C24, C27</t>
  </si>
  <si>
    <t xml:space="preserve">CL10A105KA8NNNC</t>
  </si>
  <si>
    <t xml:space="preserve">1.0uF</t>
  </si>
  <si>
    <t xml:space="preserve">C5673</t>
  </si>
  <si>
    <t xml:space="preserve">C3, C15, C16, C17, C18, C19, C20, C29</t>
  </si>
  <si>
    <t xml:space="preserve">CL10A106MA8NRNC</t>
  </si>
  <si>
    <t xml:space="preserve">10uF</t>
  </si>
  <si>
    <t xml:space="preserve">C96446</t>
  </si>
  <si>
    <t xml:space="preserve">C1, C6</t>
  </si>
  <si>
    <t xml:space="preserve">CL10A475KA8NQNC</t>
  </si>
  <si>
    <t xml:space="preserve">4.7uF</t>
  </si>
  <si>
    <t xml:space="preserve">C69335</t>
  </si>
  <si>
    <t xml:space="preserve">C5, C8</t>
  </si>
  <si>
    <t xml:space="preserve">CL10C102JB8NNNC</t>
  </si>
  <si>
    <t xml:space="preserve">1nF</t>
  </si>
  <si>
    <t xml:space="preserve">C163508</t>
  </si>
  <si>
    <t xml:space="preserve">C25, C26</t>
  </si>
  <si>
    <t xml:space="preserve">CL10A476MQ8QRNC</t>
  </si>
  <si>
    <t xml:space="preserve">47uF</t>
  </si>
  <si>
    <t xml:space="preserve">C730416</t>
  </si>
  <si>
    <t xml:space="preserve">C30</t>
  </si>
  <si>
    <t xml:space="preserve">CL10B102KB8NNNC</t>
  </si>
  <si>
    <t xml:space="preserve">C1588</t>
  </si>
  <si>
    <t xml:space="preserve">C31, C32</t>
  </si>
  <si>
    <t xml:space="preserve">CL10C220JB8NNNC</t>
  </si>
  <si>
    <t xml:space="preserve">22pF</t>
  </si>
  <si>
    <t xml:space="preserve">C1653</t>
  </si>
  <si>
    <t xml:space="preserve">R1, R5</t>
  </si>
  <si>
    <t xml:space="preserve">YAGEO</t>
  </si>
  <si>
    <t xml:space="preserve">RC0603FR-074K7L</t>
  </si>
  <si>
    <t xml:space="preserve">4.7k</t>
  </si>
  <si>
    <t xml:space="preserve">C99782</t>
  </si>
  <si>
    <t xml:space="preserve">R2, R3, R12, R15, R17</t>
  </si>
  <si>
    <t xml:space="preserve">RC0603FR-0710KL</t>
  </si>
  <si>
    <t xml:space="preserve">10k</t>
  </si>
  <si>
    <t xml:space="preserve">C98220</t>
  </si>
  <si>
    <t xml:space="preserve">R4, R8</t>
  </si>
  <si>
    <t xml:space="preserve">RC0603FR-078K2L</t>
  </si>
  <si>
    <t xml:space="preserve">8.2k</t>
  </si>
  <si>
    <t xml:space="preserve">C114637</t>
  </si>
  <si>
    <t xml:space="preserve">R6, R7, R9, R10, R11</t>
  </si>
  <si>
    <t xml:space="preserve">RC0603JR-0733RL</t>
  </si>
  <si>
    <t xml:space="preserve">33</t>
  </si>
  <si>
    <t xml:space="preserve">C108407</t>
  </si>
  <si>
    <t xml:space="preserve">R13, R14</t>
  </si>
  <si>
    <t xml:space="preserve">RC0603JR-072KL</t>
  </si>
  <si>
    <t xml:space="preserve">2k</t>
  </si>
  <si>
    <t xml:space="preserve">C105581</t>
  </si>
  <si>
    <t xml:space="preserve">RC0603FR-072KL</t>
  </si>
  <si>
    <t xml:space="preserve">R16</t>
  </si>
  <si>
    <t xml:space="preserve"> RT0603BRD071KL</t>
  </si>
  <si>
    <t xml:space="preserve">1k</t>
  </si>
  <si>
    <t xml:space="preserve">C110776</t>
  </si>
  <si>
    <t xml:space="preserve">R18, R19, R20</t>
  </si>
  <si>
    <t xml:space="preserve">RC0603JR-07100RL</t>
  </si>
  <si>
    <t xml:space="preserve">100</t>
  </si>
  <si>
    <t xml:space="preserve">C110091</t>
  </si>
  <si>
    <t xml:space="preserve">R21</t>
  </si>
  <si>
    <t xml:space="preserve">RT0603DRE074R7L</t>
  </si>
  <si>
    <t xml:space="preserve">4.7</t>
  </si>
  <si>
    <t xml:space="preserve">C863140</t>
  </si>
  <si>
    <t xml:space="preserve">R22</t>
  </si>
  <si>
    <t xml:space="preserve">RT0603BRB073K3L</t>
  </si>
  <si>
    <t xml:space="preserve">3.3k</t>
  </si>
  <si>
    <t xml:space="preserve">C860369</t>
  </si>
  <si>
    <t xml:space="preserve">LS1, LS2</t>
  </si>
  <si>
    <t xml:space="preserve">PUI Audio, Inc.</t>
  </si>
  <si>
    <t xml:space="preserve">AMM-2742-T-R</t>
  </si>
  <si>
    <t xml:space="preserve">AMM-2742-T-R, MEMS Microphones</t>
  </si>
  <si>
    <t xml:space="preserve">https://mou.sr/4uW6BxI</t>
  </si>
  <si>
    <t xml:space="preserve">7-10 Workdays</t>
  </si>
  <si>
    <t xml:space="preserve">IC1</t>
  </si>
  <si>
    <t xml:space="preserve">Everest-semi(Everest Semiconductor)</t>
  </si>
  <si>
    <t xml:space="preserve">ES8388</t>
  </si>
  <si>
    <t xml:space="preserve">C365736</t>
  </si>
  <si>
    <t xml:space="preserve">QFN-28-EP(4x4)</t>
  </si>
  <si>
    <t xml:space="preserve">D1</t>
  </si>
  <si>
    <t xml:space="preserve">XINGLIGHT</t>
  </si>
  <si>
    <t xml:space="preserve">XL-1608UBC-04</t>
  </si>
  <si>
    <t xml:space="preserve">Blue LED</t>
  </si>
  <si>
    <t xml:space="preserve">C965807</t>
  </si>
  <si>
    <t xml:space="preserve">J1</t>
  </si>
  <si>
    <t xml:space="preserve">CUI Devices</t>
  </si>
  <si>
    <t xml:space="preserve">SJ-3523-SMT-TR</t>
  </si>
  <si>
    <t xml:space="preserve">SJ-3523-SMT-TR, 3.5mm Audio Jack</t>
  </si>
  <si>
    <t xml:space="preserve">C4991872</t>
  </si>
  <si>
    <t xml:space="preserve">https://mou.sr/4uOWvy2</t>
  </si>
  <si>
    <t xml:space="preserve">J3</t>
  </si>
  <si>
    <t xml:space="preserve">SJ2-3574A-SMT-TR</t>
  </si>
  <si>
    <t xml:space="preserve">SJ2-3574A-SMT-TR, 3.5mm Audio Jack with microphone</t>
  </si>
  <si>
    <t xml:space="preserve">C4991637</t>
  </si>
  <si>
    <t xml:space="preserve">https://mou.sr/4fyV8PS</t>
  </si>
  <si>
    <t xml:space="preserve">IC2</t>
  </si>
  <si>
    <t xml:space="preserve">Texas Instruments</t>
  </si>
  <si>
    <t xml:space="preserve">TLV9002IDDFR</t>
  </si>
  <si>
    <t xml:space="preserve">TLV9002IDDFR, Dual OpAmp</t>
  </si>
  <si>
    <t xml:space="preserve">C2862620</t>
  </si>
  <si>
    <t xml:space="preserve">TSOT-23-8</t>
  </si>
  <si>
    <t xml:space="preserve">Component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</si>
</sst>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0.000"/>
    <numFmt numFmtId="166" formatCode="\$0.00"/>
  </numFmts>
  <fonts count="11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1"/>
      <name val="Arial"/>
      <family val="2"/>
    </font>
    <font>
      <b val="true"/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 val="true"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74520</xdr:colOff>
      <xdr:row>0</xdr:row>
      <xdr:rowOff>67320</xdr:rowOff>
    </xdr:from>
    <xdr:to>
      <xdr:col>2</xdr:col>
      <xdr:colOff>171000</xdr:colOff>
      <xdr:row>0</xdr:row>
      <xdr:rowOff>447840</xdr:rowOff>
    </xdr:to>
    <xdr:pic>
      <xdr:nvPicPr>
        <xdr:cNvPr id="0" name="图片 1" descr=""/>
        <xdr:cNvPicPr/>
      </xdr:nvPicPr>
      <xdr:blipFill>
        <a:blip r:embed="rId1"/>
        <a:stretch/>
      </xdr:blipFill>
      <xdr:spPr>
        <a:xfrm>
          <a:off x="74520" y="67320"/>
          <a:ext cx="150876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ou.sr/4uW6BxI" TargetMode="External"/><Relationship Id="rId2" Type="http://schemas.openxmlformats.org/officeDocument/2006/relationships/hyperlink" Target="https://mou.sr/4uOWvy2" TargetMode="External"/><Relationship Id="rId3" Type="http://schemas.openxmlformats.org/officeDocument/2006/relationships/hyperlink" Target="https://mou.sr/4fyV8PS" TargetMode="External"/><Relationship Id="rId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5" activeCellId="0" sqref="K25"/>
    </sheetView>
  </sheetViews>
  <sheetFormatPr defaultColWidth="8.98828125" defaultRowHeight="15" zeroHeight="false" outlineLevelRow="0" outlineLevelCol="0"/>
  <cols>
    <col collapsed="false" customWidth="true" hidden="false" outlineLevel="0" max="1" min="1" style="1" width="6.24"/>
    <col collapsed="false" customWidth="true" hidden="false" outlineLevel="0" max="2" min="2" style="1" width="10.24"/>
    <col collapsed="false" customWidth="true" hidden="false" outlineLevel="0" max="3" min="3" style="1" width="5.36"/>
    <col collapsed="false" customWidth="true" hidden="false" outlineLevel="0" max="10" min="4" style="1" width="17.11"/>
    <col collapsed="false" customWidth="true" hidden="false" outlineLevel="0" max="11" min="11" style="1" width="17.99"/>
    <col collapsed="false" customWidth="true" hidden="false" outlineLevel="0" max="12" min="12" style="1" width="11.99"/>
    <col collapsed="false" customWidth="true" hidden="false" outlineLevel="0" max="13" min="13" style="1" width="15.98"/>
    <col collapsed="false" customWidth="true" hidden="false" outlineLevel="0" max="14" min="14" style="1" width="25.99"/>
    <col collapsed="false" customWidth="true" hidden="false" outlineLevel="0" max="15" min="15" style="1" width="13.98"/>
    <col collapsed="false" customWidth="false" hidden="false" outlineLevel="0" max="257" min="16" style="1" width="8.99"/>
  </cols>
  <sheetData>
    <row r="1" customFormat="false" ht="39.9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5.7" hidden="false" customHeight="true" outlineLevel="0" collapsed="false">
      <c r="A2" s="3" t="s">
        <v>1</v>
      </c>
      <c r="B2" s="4" t="s">
        <v>2</v>
      </c>
      <c r="C2" s="4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4" t="s">
        <v>8</v>
      </c>
      <c r="I2" s="3" t="s">
        <v>9</v>
      </c>
      <c r="J2" s="3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5" t="s">
        <v>15</v>
      </c>
    </row>
    <row r="3" customFormat="false" ht="17" hidden="false" customHeight="false" outlineLevel="0" collapsed="false">
      <c r="A3" s="6" t="n">
        <v>1</v>
      </c>
      <c r="B3" s="6" t="s">
        <v>16</v>
      </c>
      <c r="C3" s="6" t="n">
        <v>8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/>
      <c r="K3" s="7"/>
      <c r="L3" s="7" t="n">
        <f aca="false">C3*K3*2</f>
        <v>0</v>
      </c>
      <c r="M3" s="6"/>
      <c r="N3" s="8"/>
      <c r="O3" s="6"/>
    </row>
    <row r="4" customFormat="false" ht="17" hidden="false" customHeight="false" outlineLevel="0" collapsed="false">
      <c r="A4" s="6" t="n">
        <v>2</v>
      </c>
      <c r="B4" s="6" t="s">
        <v>23</v>
      </c>
      <c r="C4" s="6" t="n">
        <v>6</v>
      </c>
      <c r="D4" s="6" t="s">
        <v>17</v>
      </c>
      <c r="E4" s="6" t="s">
        <v>24</v>
      </c>
      <c r="F4" s="6" t="s">
        <v>25</v>
      </c>
      <c r="G4" s="6" t="s">
        <v>26</v>
      </c>
      <c r="H4" s="6" t="s">
        <v>21</v>
      </c>
      <c r="I4" s="6" t="s">
        <v>22</v>
      </c>
      <c r="J4" s="6"/>
      <c r="K4" s="7"/>
      <c r="L4" s="7" t="n">
        <f aca="false">C4*K4*2</f>
        <v>0</v>
      </c>
      <c r="M4" s="6"/>
      <c r="N4" s="8"/>
      <c r="O4" s="6"/>
    </row>
    <row r="5" customFormat="false" ht="17" hidden="false" customHeight="false" outlineLevel="0" collapsed="false">
      <c r="A5" s="6" t="n">
        <v>3</v>
      </c>
      <c r="B5" s="6" t="s">
        <v>27</v>
      </c>
      <c r="C5" s="6" t="n">
        <v>8</v>
      </c>
      <c r="D5" s="6" t="s">
        <v>17</v>
      </c>
      <c r="E5" s="6" t="s">
        <v>28</v>
      </c>
      <c r="F5" s="6" t="s">
        <v>29</v>
      </c>
      <c r="G5" s="6" t="s">
        <v>30</v>
      </c>
      <c r="H5" s="6" t="s">
        <v>21</v>
      </c>
      <c r="I5" s="6" t="s">
        <v>22</v>
      </c>
      <c r="J5" s="6"/>
      <c r="K5" s="7"/>
      <c r="L5" s="7" t="n">
        <f aca="false">C5*K5*2</f>
        <v>0</v>
      </c>
      <c r="M5" s="6"/>
      <c r="N5" s="8"/>
      <c r="O5" s="6"/>
    </row>
    <row r="6" customFormat="false" ht="17" hidden="false" customHeight="false" outlineLevel="0" collapsed="false">
      <c r="A6" s="6" t="n">
        <v>4</v>
      </c>
      <c r="B6" s="6" t="s">
        <v>31</v>
      </c>
      <c r="C6" s="6" t="n">
        <v>2</v>
      </c>
      <c r="D6" s="6" t="s">
        <v>17</v>
      </c>
      <c r="E6" s="6" t="s">
        <v>32</v>
      </c>
      <c r="F6" s="6" t="s">
        <v>33</v>
      </c>
      <c r="G6" s="6" t="s">
        <v>34</v>
      </c>
      <c r="H6" s="6" t="s">
        <v>21</v>
      </c>
      <c r="I6" s="6" t="s">
        <v>22</v>
      </c>
      <c r="J6" s="6"/>
      <c r="K6" s="7"/>
      <c r="L6" s="7" t="n">
        <f aca="false">C6*K6*2</f>
        <v>0</v>
      </c>
      <c r="M6" s="6"/>
      <c r="N6" s="8"/>
      <c r="O6" s="6"/>
    </row>
    <row r="7" customFormat="false" ht="17" hidden="false" customHeight="false" outlineLevel="0" collapsed="false">
      <c r="A7" s="6" t="n">
        <v>5</v>
      </c>
      <c r="B7" s="6" t="s">
        <v>35</v>
      </c>
      <c r="C7" s="6" t="n">
        <v>2</v>
      </c>
      <c r="D7" s="6" t="s">
        <v>17</v>
      </c>
      <c r="E7" s="6" t="s">
        <v>36</v>
      </c>
      <c r="F7" s="9" t="s">
        <v>37</v>
      </c>
      <c r="G7" s="6" t="s">
        <v>38</v>
      </c>
      <c r="H7" s="6" t="s">
        <v>21</v>
      </c>
      <c r="I7" s="6" t="s">
        <v>22</v>
      </c>
      <c r="J7" s="6"/>
      <c r="K7" s="7"/>
      <c r="L7" s="7" t="n">
        <f aca="false">C7*K7*2</f>
        <v>0</v>
      </c>
      <c r="M7" s="6"/>
      <c r="N7" s="8"/>
      <c r="O7" s="6"/>
    </row>
    <row r="8" customFormat="false" ht="17" hidden="false" customHeight="false" outlineLevel="0" collapsed="false">
      <c r="A8" s="6" t="n">
        <v>6</v>
      </c>
      <c r="B8" s="6" t="s">
        <v>39</v>
      </c>
      <c r="C8" s="6" t="n">
        <v>2</v>
      </c>
      <c r="D8" s="6" t="s">
        <v>17</v>
      </c>
      <c r="E8" s="6" t="s">
        <v>40</v>
      </c>
      <c r="F8" s="6" t="s">
        <v>41</v>
      </c>
      <c r="G8" s="6" t="s">
        <v>42</v>
      </c>
      <c r="H8" s="6" t="s">
        <v>21</v>
      </c>
      <c r="I8" s="6" t="s">
        <v>22</v>
      </c>
      <c r="J8" s="6"/>
      <c r="K8" s="7"/>
      <c r="L8" s="7" t="n">
        <f aca="false">C8*K8*2</f>
        <v>0</v>
      </c>
      <c r="M8" s="6"/>
      <c r="N8" s="8"/>
      <c r="O8" s="6"/>
    </row>
    <row r="9" customFormat="false" ht="17" hidden="false" customHeight="false" outlineLevel="0" collapsed="false">
      <c r="A9" s="6" t="n">
        <v>7</v>
      </c>
      <c r="B9" s="6" t="s">
        <v>43</v>
      </c>
      <c r="C9" s="6" t="n">
        <v>1</v>
      </c>
      <c r="D9" s="6" t="s">
        <v>17</v>
      </c>
      <c r="E9" s="6" t="s">
        <v>44</v>
      </c>
      <c r="F9" s="6" t="s">
        <v>37</v>
      </c>
      <c r="G9" s="6" t="s">
        <v>45</v>
      </c>
      <c r="H9" s="6" t="s">
        <v>21</v>
      </c>
      <c r="I9" s="6" t="s">
        <v>22</v>
      </c>
      <c r="J9" s="6"/>
      <c r="K9" s="7"/>
      <c r="L9" s="7" t="n">
        <f aca="false">C9*K9*2</f>
        <v>0</v>
      </c>
      <c r="M9" s="6"/>
      <c r="N9" s="8"/>
      <c r="O9" s="6"/>
    </row>
    <row r="10" customFormat="false" ht="17" hidden="false" customHeight="false" outlineLevel="0" collapsed="false">
      <c r="A10" s="6" t="n">
        <v>8</v>
      </c>
      <c r="B10" s="6" t="s">
        <v>46</v>
      </c>
      <c r="C10" s="6" t="n">
        <v>2</v>
      </c>
      <c r="D10" s="6" t="s">
        <v>17</v>
      </c>
      <c r="E10" s="6" t="s">
        <v>47</v>
      </c>
      <c r="F10" s="6" t="s">
        <v>48</v>
      </c>
      <c r="G10" s="6" t="s">
        <v>49</v>
      </c>
      <c r="H10" s="6" t="s">
        <v>21</v>
      </c>
      <c r="I10" s="6" t="s">
        <v>22</v>
      </c>
      <c r="J10" s="6"/>
      <c r="K10" s="7"/>
      <c r="L10" s="7" t="n">
        <f aca="false">C10*K10*2</f>
        <v>0</v>
      </c>
      <c r="M10" s="6"/>
      <c r="N10" s="8"/>
      <c r="O10" s="6"/>
    </row>
    <row r="11" customFormat="false" ht="17" hidden="false" customHeight="false" outlineLevel="0" collapsed="false">
      <c r="A11" s="6" t="n">
        <v>9</v>
      </c>
      <c r="B11" s="6" t="s">
        <v>50</v>
      </c>
      <c r="C11" s="6" t="n">
        <v>2</v>
      </c>
      <c r="D11" s="6" t="s">
        <v>51</v>
      </c>
      <c r="E11" s="6" t="s">
        <v>52</v>
      </c>
      <c r="F11" s="6" t="s">
        <v>53</v>
      </c>
      <c r="G11" s="6" t="s">
        <v>54</v>
      </c>
      <c r="H11" s="6" t="s">
        <v>21</v>
      </c>
      <c r="I11" s="6" t="s">
        <v>22</v>
      </c>
      <c r="J11" s="6"/>
      <c r="K11" s="7"/>
      <c r="L11" s="7" t="n">
        <f aca="false">C11*K11*2</f>
        <v>0</v>
      </c>
      <c r="M11" s="6"/>
      <c r="N11" s="8"/>
      <c r="O11" s="6"/>
    </row>
    <row r="12" customFormat="false" ht="17" hidden="false" customHeight="false" outlineLevel="0" collapsed="false">
      <c r="A12" s="6" t="n">
        <v>10</v>
      </c>
      <c r="B12" s="6" t="s">
        <v>55</v>
      </c>
      <c r="C12" s="6" t="n">
        <v>5</v>
      </c>
      <c r="D12" s="6" t="s">
        <v>51</v>
      </c>
      <c r="E12" s="6" t="s">
        <v>56</v>
      </c>
      <c r="F12" s="6" t="s">
        <v>57</v>
      </c>
      <c r="G12" s="6" t="s">
        <v>58</v>
      </c>
      <c r="H12" s="6" t="s">
        <v>21</v>
      </c>
      <c r="I12" s="6" t="s">
        <v>22</v>
      </c>
      <c r="J12" s="6"/>
      <c r="K12" s="7"/>
      <c r="L12" s="7" t="n">
        <f aca="false">C12*K12*2</f>
        <v>0</v>
      </c>
      <c r="M12" s="6"/>
      <c r="N12" s="8"/>
      <c r="O12" s="6"/>
    </row>
    <row r="13" customFormat="false" ht="17" hidden="false" customHeight="false" outlineLevel="0" collapsed="false">
      <c r="A13" s="6" t="n">
        <v>11</v>
      </c>
      <c r="B13" s="6" t="s">
        <v>59</v>
      </c>
      <c r="C13" s="6" t="n">
        <v>2</v>
      </c>
      <c r="D13" s="6" t="s">
        <v>51</v>
      </c>
      <c r="E13" s="6" t="s">
        <v>60</v>
      </c>
      <c r="F13" s="9" t="s">
        <v>61</v>
      </c>
      <c r="G13" s="6" t="s">
        <v>62</v>
      </c>
      <c r="H13" s="6" t="s">
        <v>21</v>
      </c>
      <c r="I13" s="6" t="s">
        <v>22</v>
      </c>
      <c r="J13" s="6"/>
      <c r="K13" s="7"/>
      <c r="L13" s="7" t="n">
        <f aca="false">C13*K13*2</f>
        <v>0</v>
      </c>
      <c r="M13" s="6"/>
      <c r="N13" s="8"/>
      <c r="O13" s="6"/>
    </row>
    <row r="14" customFormat="false" ht="17" hidden="false" customHeight="false" outlineLevel="0" collapsed="false">
      <c r="A14" s="6" t="n">
        <v>12</v>
      </c>
      <c r="B14" s="6" t="s">
        <v>63</v>
      </c>
      <c r="C14" s="6" t="n">
        <v>5</v>
      </c>
      <c r="D14" s="6" t="s">
        <v>51</v>
      </c>
      <c r="E14" s="6" t="s">
        <v>64</v>
      </c>
      <c r="F14" s="6" t="s">
        <v>65</v>
      </c>
      <c r="G14" s="6" t="s">
        <v>66</v>
      </c>
      <c r="H14" s="6" t="s">
        <v>21</v>
      </c>
      <c r="I14" s="6" t="s">
        <v>22</v>
      </c>
      <c r="J14" s="6"/>
      <c r="K14" s="7"/>
      <c r="L14" s="7" t="n">
        <f aca="false">C14*K14*2</f>
        <v>0</v>
      </c>
      <c r="M14" s="6"/>
      <c r="N14" s="8"/>
      <c r="O14" s="6"/>
    </row>
    <row r="15" customFormat="false" ht="17" hidden="false" customHeight="false" outlineLevel="0" collapsed="false">
      <c r="A15" s="6" t="n">
        <v>13</v>
      </c>
      <c r="B15" s="6" t="s">
        <v>67</v>
      </c>
      <c r="C15" s="6" t="n">
        <v>2</v>
      </c>
      <c r="D15" s="6" t="s">
        <v>51</v>
      </c>
      <c r="E15" s="6" t="s">
        <v>68</v>
      </c>
      <c r="F15" s="6" t="s">
        <v>69</v>
      </c>
      <c r="G15" s="6" t="s">
        <v>70</v>
      </c>
      <c r="H15" s="6" t="s">
        <v>21</v>
      </c>
      <c r="I15" s="6" t="s">
        <v>22</v>
      </c>
      <c r="J15" s="6"/>
      <c r="K15" s="7"/>
      <c r="L15" s="7" t="n">
        <f aca="false">C15*K15*2</f>
        <v>0</v>
      </c>
      <c r="M15" s="6"/>
      <c r="N15" s="8" t="s">
        <v>71</v>
      </c>
      <c r="O15" s="6"/>
    </row>
    <row r="16" customFormat="false" ht="17" hidden="false" customHeight="false" outlineLevel="0" collapsed="false">
      <c r="A16" s="6" t="n">
        <v>14</v>
      </c>
      <c r="B16" s="6" t="s">
        <v>72</v>
      </c>
      <c r="C16" s="6" t="n">
        <v>1</v>
      </c>
      <c r="D16" s="6" t="s">
        <v>51</v>
      </c>
      <c r="E16" s="6" t="s">
        <v>73</v>
      </c>
      <c r="F16" s="6" t="s">
        <v>74</v>
      </c>
      <c r="G16" s="6" t="s">
        <v>75</v>
      </c>
      <c r="H16" s="6" t="s">
        <v>21</v>
      </c>
      <c r="I16" s="6" t="s">
        <v>22</v>
      </c>
      <c r="J16" s="6"/>
      <c r="K16" s="7"/>
      <c r="L16" s="7" t="n">
        <f aca="false">C16*K16*2</f>
        <v>0</v>
      </c>
      <c r="M16" s="6"/>
      <c r="N16" s="8"/>
      <c r="O16" s="6"/>
    </row>
    <row r="17" customFormat="false" ht="17" hidden="false" customHeight="false" outlineLevel="0" collapsed="false">
      <c r="A17" s="6" t="n">
        <v>15</v>
      </c>
      <c r="B17" s="6" t="s">
        <v>76</v>
      </c>
      <c r="C17" s="6" t="n">
        <v>3</v>
      </c>
      <c r="D17" s="6" t="s">
        <v>51</v>
      </c>
      <c r="E17" s="6" t="s">
        <v>77</v>
      </c>
      <c r="F17" s="6" t="s">
        <v>78</v>
      </c>
      <c r="G17" s="6" t="s">
        <v>79</v>
      </c>
      <c r="H17" s="6" t="s">
        <v>21</v>
      </c>
      <c r="I17" s="6" t="s">
        <v>22</v>
      </c>
      <c r="J17" s="6"/>
      <c r="K17" s="7"/>
      <c r="L17" s="7" t="n">
        <f aca="false">C17*K17*2</f>
        <v>0</v>
      </c>
      <c r="M17" s="6"/>
      <c r="N17" s="8"/>
      <c r="O17" s="6"/>
    </row>
    <row r="18" customFormat="false" ht="17" hidden="false" customHeight="false" outlineLevel="0" collapsed="false">
      <c r="A18" s="6" t="n">
        <v>16</v>
      </c>
      <c r="B18" s="6" t="s">
        <v>80</v>
      </c>
      <c r="C18" s="6" t="n">
        <v>1</v>
      </c>
      <c r="D18" s="6" t="s">
        <v>51</v>
      </c>
      <c r="E18" s="6" t="s">
        <v>81</v>
      </c>
      <c r="F18" s="6" t="s">
        <v>82</v>
      </c>
      <c r="G18" s="6" t="s">
        <v>83</v>
      </c>
      <c r="H18" s="6" t="s">
        <v>21</v>
      </c>
      <c r="I18" s="6" t="s">
        <v>22</v>
      </c>
      <c r="J18" s="6"/>
      <c r="K18" s="7"/>
      <c r="L18" s="7" t="n">
        <f aca="false">C18*K18*2</f>
        <v>0</v>
      </c>
      <c r="M18" s="6"/>
      <c r="N18" s="8"/>
      <c r="O18" s="6"/>
    </row>
    <row r="19" customFormat="false" ht="17" hidden="false" customHeight="false" outlineLevel="0" collapsed="false">
      <c r="A19" s="6" t="n">
        <v>17</v>
      </c>
      <c r="B19" s="6" t="s">
        <v>84</v>
      </c>
      <c r="C19" s="6" t="n">
        <v>1</v>
      </c>
      <c r="D19" s="6" t="s">
        <v>51</v>
      </c>
      <c r="E19" s="6" t="s">
        <v>85</v>
      </c>
      <c r="F19" s="6" t="s">
        <v>86</v>
      </c>
      <c r="G19" s="6" t="s">
        <v>87</v>
      </c>
      <c r="H19" s="6" t="s">
        <v>21</v>
      </c>
      <c r="I19" s="6" t="s">
        <v>22</v>
      </c>
      <c r="J19" s="6"/>
      <c r="K19" s="7"/>
      <c r="L19" s="7" t="n">
        <f aca="false">C19*K19*2</f>
        <v>0</v>
      </c>
      <c r="M19" s="6"/>
      <c r="N19" s="8"/>
      <c r="O19" s="6"/>
    </row>
    <row r="20" customFormat="false" ht="17" hidden="false" customHeight="false" outlineLevel="0" collapsed="false">
      <c r="A20" s="6" t="n">
        <v>18</v>
      </c>
      <c r="B20" s="6" t="s">
        <v>88</v>
      </c>
      <c r="C20" s="6" t="n">
        <v>2</v>
      </c>
      <c r="D20" s="6" t="s">
        <v>89</v>
      </c>
      <c r="E20" s="6" t="s">
        <v>90</v>
      </c>
      <c r="F20" s="6" t="s">
        <v>91</v>
      </c>
      <c r="G20" s="6"/>
      <c r="H20" s="6" t="s">
        <v>21</v>
      </c>
      <c r="I20" s="6" t="s">
        <v>22</v>
      </c>
      <c r="J20" s="10" t="s">
        <v>92</v>
      </c>
      <c r="K20" s="7"/>
      <c r="L20" s="7" t="n">
        <f aca="false">C20*K20*2</f>
        <v>0</v>
      </c>
      <c r="M20" s="6" t="s">
        <v>93</v>
      </c>
      <c r="N20" s="8"/>
      <c r="O20" s="6"/>
    </row>
    <row r="21" customFormat="false" ht="17" hidden="false" customHeight="false" outlineLevel="0" collapsed="false">
      <c r="A21" s="6" t="n">
        <v>19</v>
      </c>
      <c r="B21" s="6" t="s">
        <v>94</v>
      </c>
      <c r="C21" s="6" t="n">
        <v>1</v>
      </c>
      <c r="D21" s="6" t="s">
        <v>95</v>
      </c>
      <c r="E21" s="6" t="s">
        <v>96</v>
      </c>
      <c r="F21" s="6" t="s">
        <v>96</v>
      </c>
      <c r="G21" s="6" t="s">
        <v>97</v>
      </c>
      <c r="H21" s="6" t="s">
        <v>98</v>
      </c>
      <c r="I21" s="6" t="s">
        <v>22</v>
      </c>
      <c r="J21" s="6"/>
      <c r="K21" s="7"/>
      <c r="L21" s="7" t="n">
        <f aca="false">C21*K21*2</f>
        <v>0</v>
      </c>
      <c r="M21" s="6"/>
      <c r="N21" s="8"/>
      <c r="O21" s="6"/>
    </row>
    <row r="22" customFormat="false" ht="17" hidden="false" customHeight="false" outlineLevel="0" collapsed="false">
      <c r="A22" s="6" t="n">
        <v>20</v>
      </c>
      <c r="B22" s="6" t="s">
        <v>99</v>
      </c>
      <c r="C22" s="6" t="n">
        <v>1</v>
      </c>
      <c r="D22" s="6" t="s">
        <v>100</v>
      </c>
      <c r="E22" s="6" t="s">
        <v>101</v>
      </c>
      <c r="F22" s="6" t="s">
        <v>102</v>
      </c>
      <c r="G22" s="6" t="s">
        <v>103</v>
      </c>
      <c r="H22" s="6" t="s">
        <v>21</v>
      </c>
      <c r="I22" s="6" t="s">
        <v>22</v>
      </c>
      <c r="J22" s="6"/>
      <c r="K22" s="7"/>
      <c r="L22" s="7" t="n">
        <f aca="false">C22*K22*2</f>
        <v>0</v>
      </c>
      <c r="M22" s="6"/>
      <c r="N22" s="8"/>
      <c r="O22" s="6"/>
    </row>
    <row r="23" customFormat="false" ht="17" hidden="false" customHeight="false" outlineLevel="0" collapsed="false">
      <c r="A23" s="6" t="n">
        <v>21</v>
      </c>
      <c r="B23" s="6" t="s">
        <v>104</v>
      </c>
      <c r="C23" s="6" t="n">
        <v>1</v>
      </c>
      <c r="D23" s="6" t="s">
        <v>105</v>
      </c>
      <c r="E23" s="6" t="s">
        <v>106</v>
      </c>
      <c r="F23" s="6" t="s">
        <v>107</v>
      </c>
      <c r="G23" s="6" t="s">
        <v>108</v>
      </c>
      <c r="H23" s="6"/>
      <c r="I23" s="6" t="s">
        <v>22</v>
      </c>
      <c r="J23" s="10" t="s">
        <v>109</v>
      </c>
      <c r="K23" s="7"/>
      <c r="L23" s="7" t="n">
        <f aca="false">C23*K23*2</f>
        <v>0</v>
      </c>
      <c r="M23" s="6"/>
      <c r="N23" s="8"/>
      <c r="O23" s="6"/>
    </row>
    <row r="24" customFormat="false" ht="17" hidden="false" customHeight="false" outlineLevel="0" collapsed="false">
      <c r="A24" s="6" t="n">
        <v>22</v>
      </c>
      <c r="B24" s="6" t="s">
        <v>110</v>
      </c>
      <c r="C24" s="6" t="n">
        <v>1</v>
      </c>
      <c r="D24" s="6" t="s">
        <v>105</v>
      </c>
      <c r="E24" s="6" t="s">
        <v>111</v>
      </c>
      <c r="F24" s="6" t="s">
        <v>112</v>
      </c>
      <c r="G24" s="6" t="s">
        <v>113</v>
      </c>
      <c r="H24" s="6"/>
      <c r="I24" s="6" t="s">
        <v>22</v>
      </c>
      <c r="J24" s="10" t="s">
        <v>114</v>
      </c>
      <c r="K24" s="7"/>
      <c r="L24" s="7" t="n">
        <f aca="false">C24*K24*2</f>
        <v>0</v>
      </c>
      <c r="M24" s="6" t="s">
        <v>93</v>
      </c>
      <c r="N24" s="8"/>
      <c r="O24" s="6"/>
    </row>
    <row r="25" customFormat="false" ht="17" hidden="false" customHeight="false" outlineLevel="0" collapsed="false">
      <c r="A25" s="6" t="n">
        <v>23</v>
      </c>
      <c r="B25" s="6" t="s">
        <v>115</v>
      </c>
      <c r="C25" s="6" t="n">
        <v>1</v>
      </c>
      <c r="D25" s="6" t="s">
        <v>116</v>
      </c>
      <c r="E25" s="6" t="s">
        <v>117</v>
      </c>
      <c r="F25" s="6" t="s">
        <v>118</v>
      </c>
      <c r="G25" s="6" t="s">
        <v>119</v>
      </c>
      <c r="H25" s="6" t="s">
        <v>120</v>
      </c>
      <c r="I25" s="6" t="s">
        <v>22</v>
      </c>
      <c r="J25" s="6"/>
      <c r="K25" s="7"/>
      <c r="L25" s="7" t="n">
        <f aca="false">C25*K25*2</f>
        <v>0</v>
      </c>
      <c r="M25" s="6" t="s">
        <v>93</v>
      </c>
      <c r="N25" s="8"/>
      <c r="O25" s="6"/>
    </row>
    <row r="26" customFormat="false" ht="15" hidden="false" customHeight="false" outlineLevel="0" collapsed="false">
      <c r="K26" s="6" t="s">
        <v>121</v>
      </c>
      <c r="L26" s="11" t="n">
        <f aca="false">SUM(L3:L25)</f>
        <v>0</v>
      </c>
    </row>
  </sheetData>
  <mergeCells count="1">
    <mergeCell ref="A1:O1"/>
  </mergeCells>
  <hyperlinks>
    <hyperlink ref="J20" r:id="rId1" display="https://mou.sr/4uW6BxI"/>
    <hyperlink ref="J23" r:id="rId2" display="https://mou.sr/4uOWvy2"/>
    <hyperlink ref="J24" r:id="rId3" display="https://mou.sr/4fyV8P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2020-08-20T18:41:33Z</dcterms:created>
  <dc:creator>Administrator</dc:creator>
  <dc:description/>
  <dc:language>en-US</dc:language>
  <cp:lastModifiedBy/>
  <dcterms:modified xsi:type="dcterms:W3CDTF">2026-06-10T15:06:08Z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NPOI_x0000__x0000__x0000_</vt:lpwstr>
  </property>
  <property fmtid="{D5CDD505-2E9C-101B-9397-08002B2CF9AE}" pid="3" name="Generator Version">
    <vt:lpwstr>2.3.0_x0000__x0000_</vt:lpwstr>
  </property>
  <property fmtid="{D5CDD505-2E9C-101B-9397-08002B2CF9AE}" pid="4" name="KSOProductBuildVer">
    <vt:lpwstr>2052-11.1.0.9912_x0000__x0000__x0000_</vt:lpwstr>
  </property>
</Properties>
</file>