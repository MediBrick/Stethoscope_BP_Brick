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<sst xmlns="http://schemas.openxmlformats.org/spreadsheetml/2006/main" count="59" uniqueCount="14">
  <si>
    <t xml:space="preserve">Default Settings from Datasheet</t>
  </si>
  <si>
    <t xml:space="preserve">Zero</t>
  </si>
  <si>
    <t xml:space="preserve">Count</t>
  </si>
  <si>
    <t xml:space="preserve">Height</t>
  </si>
  <si>
    <t xml:space="preserve">Default</t>
  </si>
  <si>
    <t xml:space="preserve">Expected Value</t>
  </si>
  <si>
    <t xml:space="preserve">Error</t>
  </si>
  <si>
    <t xml:space="preserve">delta Counts</t>
  </si>
  <si>
    <t xml:space="preserve">mmH2O</t>
  </si>
  <si>
    <t xml:space="preserve">mmHg</t>
  </si>
  <si>
    <t xml:space="preserve">PSI</t>
  </si>
  <si>
    <t xml:space="preserve">Average Zero</t>
  </si>
  <si>
    <t xml:space="preserve">Average Calibration</t>
  </si>
  <si>
    <t xml:space="preserve">STD Calibration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</si>
</sst>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2" activeCellId="0" sqref="F32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  <c r="B2" s="1" t="n">
        <f aca="false">2.5*2^24/100</f>
        <v>419430.4</v>
      </c>
    </row>
    <row r="3" customFormat="false" ht="12.8" hidden="false" customHeight="false" outlineLevel="0" collapsed="false">
      <c r="A3" s="1" t="s">
        <v>2</v>
      </c>
      <c r="B3" s="1" t="n">
        <f aca="false">22.5*(2^24)/100</f>
        <v>3774873.6</v>
      </c>
      <c r="F3" s="1" t="n">
        <f aca="false">B3-B2</f>
        <v>3355443.2</v>
      </c>
    </row>
    <row r="4" customFormat="false" ht="12.8" hidden="false" customHeight="false" outlineLevel="0" collapsed="false">
      <c r="A4" s="1" t="s">
        <v>3</v>
      </c>
      <c r="B4" s="1" t="s">
        <v>4</v>
      </c>
      <c r="D4" s="1" t="n">
        <v>300</v>
      </c>
      <c r="E4" s="1" t="n">
        <v>5.80104</v>
      </c>
      <c r="F4" s="2" t="n">
        <f aca="false">E4/F3</f>
        <v>1.72884464263916E-006</v>
      </c>
      <c r="G4" s="1" t="s">
        <v>5</v>
      </c>
    </row>
    <row r="5" customFormat="false" ht="12.8" hidden="false" customHeight="false" outlineLevel="0" collapsed="false">
      <c r="F5" s="1" t="n">
        <f aca="false">(G32-F4)/F4</f>
        <v>0.0354989348811774</v>
      </c>
      <c r="G5" s="1" t="s">
        <v>6</v>
      </c>
      <c r="H5" s="1" t="n">
        <v>120</v>
      </c>
      <c r="I5" s="1" t="n">
        <f aca="false">H5+F5*H5</f>
        <v>124.259872185741</v>
      </c>
    </row>
    <row r="6" customFormat="false" ht="12.8" hidden="false" customHeight="false" outlineLevel="0" collapsed="false">
      <c r="A6" s="1" t="s">
        <v>1</v>
      </c>
      <c r="B6" s="1" t="n">
        <v>417000</v>
      </c>
      <c r="F6" s="1" t="s">
        <v>7</v>
      </c>
    </row>
    <row r="7" customFormat="false" ht="12.8" hidden="false" customHeight="false" outlineLevel="0" collapsed="false">
      <c r="A7" s="1" t="s">
        <v>2</v>
      </c>
      <c r="B7" s="1" t="n">
        <v>1450630</v>
      </c>
      <c r="C7" s="1" t="s">
        <v>8</v>
      </c>
      <c r="D7" s="1" t="s">
        <v>9</v>
      </c>
      <c r="E7" s="1" t="s">
        <v>10</v>
      </c>
      <c r="F7" s="1" t="n">
        <f aca="false">B7-B6</f>
        <v>1033630</v>
      </c>
    </row>
    <row r="8" customFormat="false" ht="12.8" hidden="false" customHeight="false" outlineLevel="0" collapsed="false">
      <c r="A8" s="1" t="s">
        <v>3</v>
      </c>
      <c r="B8" s="1" t="n">
        <f aca="false">51-1/16 -1/8</f>
        <v>50.8125</v>
      </c>
      <c r="C8" s="1" t="n">
        <f aca="false">B8*25.4</f>
        <v>1290.6375</v>
      </c>
      <c r="D8" s="1" t="n">
        <f aca="false">C8*0.0735559</f>
        <v>94.93400288625</v>
      </c>
      <c r="E8" s="1" t="n">
        <f aca="false">C8*0.001422334</f>
        <v>1.835717597925</v>
      </c>
      <c r="F8" s="1" t="n">
        <f aca="false">E8/F7</f>
        <v>1.77599101992492E-006</v>
      </c>
    </row>
    <row r="10" customFormat="false" ht="12.8" hidden="false" customHeight="false" outlineLevel="0" collapsed="false">
      <c r="A10" s="1" t="s">
        <v>1</v>
      </c>
      <c r="B10" s="1" t="n">
        <v>413500</v>
      </c>
      <c r="F10" s="1" t="s">
        <v>7</v>
      </c>
    </row>
    <row r="11" customFormat="false" ht="12.8" hidden="false" customHeight="false" outlineLevel="0" collapsed="false">
      <c r="A11" s="1" t="s">
        <v>2</v>
      </c>
      <c r="B11" s="1" t="n">
        <v>1488000</v>
      </c>
      <c r="C11" s="1" t="s">
        <v>8</v>
      </c>
      <c r="D11" s="1" t="s">
        <v>9</v>
      </c>
      <c r="E11" s="1" t="s">
        <v>10</v>
      </c>
      <c r="F11" s="1" t="n">
        <f aca="false">B11-B10</f>
        <v>1074500</v>
      </c>
    </row>
    <row r="12" customFormat="false" ht="12.8" hidden="false" customHeight="false" outlineLevel="0" collapsed="false">
      <c r="A12" s="1" t="s">
        <v>3</v>
      </c>
      <c r="B12" s="1" t="n">
        <v>53</v>
      </c>
      <c r="C12" s="1" t="n">
        <f aca="false">B12*25.4</f>
        <v>1346.2</v>
      </c>
      <c r="D12" s="1" t="n">
        <f aca="false">C12*0.0735559</f>
        <v>99.02095258</v>
      </c>
      <c r="E12" s="1" t="n">
        <f aca="false">C12*0.001422334</f>
        <v>1.9147460308</v>
      </c>
      <c r="F12" s="1" t="n">
        <f aca="false">E12/F11</f>
        <v>1.78198793001396E-006</v>
      </c>
    </row>
    <row r="14" customFormat="false" ht="12.8" hidden="false" customHeight="false" outlineLevel="0" collapsed="false">
      <c r="A14" s="1" t="s">
        <v>1</v>
      </c>
      <c r="B14" s="1" t="n">
        <v>414800</v>
      </c>
      <c r="F14" s="1" t="s">
        <v>7</v>
      </c>
    </row>
    <row r="15" customFormat="false" ht="12.8" hidden="false" customHeight="false" outlineLevel="0" collapsed="false">
      <c r="A15" s="1" t="s">
        <v>2</v>
      </c>
      <c r="B15" s="1" t="n">
        <v>1176500</v>
      </c>
      <c r="C15" s="1" t="s">
        <v>8</v>
      </c>
      <c r="D15" s="1" t="s">
        <v>9</v>
      </c>
      <c r="E15" s="1" t="s">
        <v>10</v>
      </c>
      <c r="F15" s="1" t="n">
        <f aca="false">B15-B14</f>
        <v>761700</v>
      </c>
    </row>
    <row r="16" customFormat="false" ht="12.8" hidden="false" customHeight="false" outlineLevel="0" collapsed="false">
      <c r="A16" s="1" t="s">
        <v>3</v>
      </c>
      <c r="B16" s="1" t="n">
        <f aca="false">38+1/8</f>
        <v>38.125</v>
      </c>
      <c r="C16" s="1" t="n">
        <f aca="false">B16*25.4</f>
        <v>968.375</v>
      </c>
      <c r="D16" s="1" t="n">
        <f aca="false">C16*0.0735559</f>
        <v>71.2296946625</v>
      </c>
      <c r="E16" s="1" t="n">
        <f aca="false">C16*0.001422334</f>
        <v>1.37735268725</v>
      </c>
      <c r="F16" s="1" t="n">
        <f aca="false">E16/F15</f>
        <v>1.80826137225942E-006</v>
      </c>
    </row>
    <row r="18" customFormat="false" ht="12.8" hidden="false" customHeight="false" outlineLevel="0" collapsed="false">
      <c r="A18" s="1" t="s">
        <v>1</v>
      </c>
      <c r="B18" s="1" t="n">
        <v>416100</v>
      </c>
      <c r="F18" s="1" t="s">
        <v>7</v>
      </c>
    </row>
    <row r="19" customFormat="false" ht="12.8" hidden="false" customHeight="false" outlineLevel="0" collapsed="false">
      <c r="A19" s="1" t="s">
        <v>2</v>
      </c>
      <c r="B19" s="1" t="n">
        <v>1730600</v>
      </c>
      <c r="C19" s="1" t="s">
        <v>8</v>
      </c>
      <c r="D19" s="1" t="s">
        <v>9</v>
      </c>
      <c r="E19" s="1" t="s">
        <v>10</v>
      </c>
      <c r="F19" s="1" t="n">
        <f aca="false">B19-B18</f>
        <v>1314500</v>
      </c>
    </row>
    <row r="20" customFormat="false" ht="12.8" hidden="false" customHeight="false" outlineLevel="0" collapsed="false">
      <c r="A20" s="1" t="s">
        <v>3</v>
      </c>
      <c r="B20" s="1" t="n">
        <v>65</v>
      </c>
      <c r="C20" s="1" t="n">
        <f aca="false">B20*25.4</f>
        <v>1651</v>
      </c>
      <c r="D20" s="1" t="n">
        <f aca="false">C20*0.0735559</f>
        <v>121.4407909</v>
      </c>
      <c r="E20" s="1" t="n">
        <f aca="false">C20*0.001422334</f>
        <v>2.348273434</v>
      </c>
      <c r="F20" s="1" t="n">
        <f aca="false">E20/F19</f>
        <v>1.7864385195892E-006</v>
      </c>
    </row>
    <row r="22" customFormat="false" ht="12.8" hidden="false" customHeight="false" outlineLevel="0" collapsed="false">
      <c r="A22" s="1" t="s">
        <v>1</v>
      </c>
      <c r="B22" s="1" t="n">
        <v>412800</v>
      </c>
      <c r="F22" s="1" t="s">
        <v>7</v>
      </c>
    </row>
    <row r="23" customFormat="false" ht="12.8" hidden="false" customHeight="false" outlineLevel="0" collapsed="false">
      <c r="A23" s="1" t="s">
        <v>2</v>
      </c>
      <c r="B23" s="1" t="n">
        <v>1709700</v>
      </c>
      <c r="C23" s="1" t="s">
        <v>8</v>
      </c>
      <c r="D23" s="1" t="s">
        <v>9</v>
      </c>
      <c r="E23" s="1" t="s">
        <v>10</v>
      </c>
      <c r="F23" s="1" t="n">
        <f aca="false">B23-B22</f>
        <v>1296900</v>
      </c>
    </row>
    <row r="24" customFormat="false" ht="12.8" hidden="false" customHeight="false" outlineLevel="0" collapsed="false">
      <c r="A24" s="1" t="s">
        <v>3</v>
      </c>
      <c r="B24" s="1" t="n">
        <f aca="false">65-1/8</f>
        <v>64.875</v>
      </c>
      <c r="C24" s="1" t="n">
        <f aca="false">B24*25.4</f>
        <v>1647.825</v>
      </c>
      <c r="D24" s="1" t="n">
        <f aca="false">C24*0.0735559</f>
        <v>121.2072509175</v>
      </c>
      <c r="E24" s="1" t="n">
        <f aca="false">C24*0.001422334</f>
        <v>2.34375752355</v>
      </c>
      <c r="F24" s="1" t="n">
        <f aca="false">E24/F23</f>
        <v>1.80719987936618E-006</v>
      </c>
    </row>
    <row r="26" customFormat="false" ht="12.8" hidden="false" customHeight="false" outlineLevel="0" collapsed="false">
      <c r="A26" s="1" t="s">
        <v>1</v>
      </c>
      <c r="B26" s="1" t="n">
        <v>415200</v>
      </c>
      <c r="F26" s="1" t="s">
        <v>7</v>
      </c>
    </row>
    <row r="27" customFormat="false" ht="12.8" hidden="false" customHeight="false" outlineLevel="0" collapsed="false">
      <c r="A27" s="1" t="s">
        <v>2</v>
      </c>
      <c r="B27" s="1" t="n">
        <v>1719000</v>
      </c>
      <c r="C27" s="1" t="s">
        <v>8</v>
      </c>
      <c r="D27" s="1" t="s">
        <v>9</v>
      </c>
      <c r="E27" s="1" t="s">
        <v>10</v>
      </c>
      <c r="F27" s="1" t="n">
        <f aca="false">B27-B26</f>
        <v>1303800</v>
      </c>
    </row>
    <row r="28" customFormat="false" ht="12.8" hidden="false" customHeight="false" outlineLevel="0" collapsed="false">
      <c r="A28" s="1" t="s">
        <v>3</v>
      </c>
      <c r="B28" s="1" t="n">
        <f aca="false">64+1/8</f>
        <v>64.125</v>
      </c>
      <c r="C28" s="1" t="n">
        <f aca="false">B28*25.4</f>
        <v>1628.775</v>
      </c>
      <c r="D28" s="1" t="n">
        <f aca="false">C28*0.0735559</f>
        <v>119.8060110225</v>
      </c>
      <c r="E28" s="1" t="n">
        <f aca="false">C28*0.001422334</f>
        <v>2.31666206085</v>
      </c>
      <c r="F28" s="1" t="n">
        <f aca="false">E28/F27</f>
        <v>1.77685385860561E-006</v>
      </c>
    </row>
    <row r="29" customFormat="false" ht="12.8" hidden="false" customHeight="false" outlineLevel="0" collapsed="false">
      <c r="G29" s="1" t="s">
        <v>11</v>
      </c>
    </row>
    <row r="30" customFormat="false" ht="12.8" hidden="false" customHeight="false" outlineLevel="0" collapsed="false">
      <c r="A30" s="1" t="s">
        <v>1</v>
      </c>
      <c r="B30" s="1" t="n">
        <v>419000</v>
      </c>
      <c r="F30" s="1" t="s">
        <v>7</v>
      </c>
      <c r="G30" s="2" t="n">
        <f aca="false">AVERAGE(B30,B26,B22,B18,B14,B10,B6)</f>
        <v>415485.714285714</v>
      </c>
    </row>
    <row r="31" customFormat="false" ht="12.8" hidden="false" customHeight="false" outlineLevel="0" collapsed="false">
      <c r="A31" s="1" t="s">
        <v>2</v>
      </c>
      <c r="B31" s="1" t="n">
        <v>1667000</v>
      </c>
      <c r="C31" s="1" t="s">
        <v>8</v>
      </c>
      <c r="D31" s="1" t="s">
        <v>9</v>
      </c>
      <c r="E31" s="1" t="s">
        <v>10</v>
      </c>
      <c r="F31" s="1" t="n">
        <f aca="false">B31-B30</f>
        <v>1248000</v>
      </c>
      <c r="G31" s="1" t="s">
        <v>12</v>
      </c>
      <c r="H31" s="1" t="s">
        <v>13</v>
      </c>
    </row>
    <row r="32" customFormat="false" ht="12.8" hidden="false" customHeight="false" outlineLevel="0" collapsed="false">
      <c r="A32" s="1" t="s">
        <v>3</v>
      </c>
      <c r="B32" s="1" t="n">
        <v>62</v>
      </c>
      <c r="C32" s="1" t="n">
        <f aca="false">B32*25.4</f>
        <v>1574.8</v>
      </c>
      <c r="D32" s="1" t="n">
        <f aca="false">C32*0.0735559</f>
        <v>115.83583132</v>
      </c>
      <c r="E32" s="1" t="n">
        <f aca="false">C32*0.001422334</f>
        <v>2.2398915832</v>
      </c>
      <c r="F32" s="1" t="n">
        <f aca="false">E32/F31</f>
        <v>1.7947849224359E-006</v>
      </c>
      <c r="G32" s="3" t="n">
        <f aca="false">AVERAGE(F32,F28,F24,F20,F16,F12,F8)</f>
        <v>1.79021678602788E-006</v>
      </c>
      <c r="H32" s="1" t="n">
        <f aca="false">STDEV(F32,F28,F24,F20,F16,F12,F8)</f>
        <v>1.35267022399871E-008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2024-10-31T14:10:16Z</dcterms:created>
  <dc:creator/>
  <dc:description/>
  <dc:language>en-US</dc:language>
  <cp:lastModifiedBy/>
  <dcterms:modified xsi:type="dcterms:W3CDTF">2026-06-10T17:22:08Z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